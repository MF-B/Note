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F_B\Desktop\笔记\学习笔记\计算机组成\复习大纲\"/>
    </mc:Choice>
  </mc:AlternateContent>
  <xr:revisionPtr revIDLastSave="0" documentId="13_ncr:1_{504B5835-BDF8-43E5-9D00-B870BC1BC1D2}" xr6:coauthVersionLast="47" xr6:coauthVersionMax="47" xr10:uidLastSave="{00000000-0000-0000-0000-000000000000}"/>
  <bookViews>
    <workbookView xWindow="585" yWindow="510" windowWidth="15405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" i="1" l="1"/>
  <c r="X6" i="1"/>
  <c r="X7" i="1"/>
  <c r="X8" i="1"/>
  <c r="X4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<sst xmlns="http://schemas.openxmlformats.org/spreadsheetml/2006/main" count="51" uniqueCount="51">
  <si>
    <t>海明码</t>
  </si>
  <si>
    <t>检错码/ 位置</t>
  </si>
  <si>
    <t>映射关系</t>
  </si>
  <si>
    <t>G1 校验组</t>
    <phoneticPr fontId="1" type="noConversion"/>
  </si>
  <si>
    <t>G2 校验组</t>
  </si>
  <si>
    <t>G3 校验组</t>
  </si>
  <si>
    <t>G4 校验组</t>
  </si>
  <si>
    <t>G5 校验组</t>
  </si>
  <si>
    <t>H1</t>
    <phoneticPr fontId="1" type="noConversion"/>
  </si>
  <si>
    <t>H2</t>
    <phoneticPr fontId="1" type="noConversion"/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</si>
  <si>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</si>
  <si>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</si>
  <si>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</si>
  <si>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</si>
  <si>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</si>
  <si>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</si>
  <si>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</si>
  <si>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</si>
  <si>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</si>
  <si>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</si>
  <si>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</si>
  <si>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</si>
  <si>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</si>
  <si>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</si>
  <si>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P1</t>
    <phoneticPr fontId="1" type="noConversion"/>
  </si>
  <si>
    <t>P2</t>
    <phoneticPr fontId="1" type="noConversion"/>
  </si>
  <si>
    <t>P3</t>
    <phoneticPr fontId="1" type="noConversion"/>
  </si>
  <si>
    <t>P4</t>
    <phoneticPr fontId="1" type="noConversion"/>
  </si>
  <si>
    <t>H17</t>
  </si>
  <si>
    <t>H18</t>
  </si>
  <si>
    <t>H19</t>
  </si>
  <si>
    <t>H20</t>
  </si>
  <si>
    <t>H21</t>
  </si>
  <si>
    <t>P5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</si>
  <si>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</si>
  <si>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</si>
  <si>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</si>
  <si>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</si>
  <si>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</si>
  <si>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</si>
  <si>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</si>
  <si>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</si>
  <si>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D9</t>
    <phoneticPr fontId="1" type="noConversion"/>
  </si>
  <si>
    <t>D10</t>
    <phoneticPr fontId="1" type="noConversion"/>
  </si>
  <si>
    <t>D11</t>
    <phoneticPr fontId="1" type="noConversion"/>
  </si>
  <si>
    <t>D12</t>
    <phoneticPr fontId="1" type="noConversion"/>
  </si>
  <si>
    <t>D13</t>
    <phoneticPr fontId="1" type="noConversion"/>
  </si>
  <si>
    <t>D14</t>
    <phoneticPr fontId="1" type="noConversion"/>
  </si>
  <si>
    <t>D15</t>
    <phoneticPr fontId="1" type="noConversion"/>
  </si>
  <si>
    <t>D16</t>
    <phoneticPr fontId="1" type="noConversion"/>
  </si>
  <si>
    <t>G6 校验组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</si>
</sst>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2" fillId="2" borderId="0" xfId="0" applyFont="1" applyFill="1"/>
    <xf numFmtId="0" fontId="3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tabSelected="1" topLeftCell="C7" zoomScaleNormal="100" workbookViewId="0">
      <selection activeCell="M6" sqref="M6:P6"/>
    </sheetView>
  </sheetViews>
  <sheetFormatPr defaultRowHeight="14.25" x14ac:dyDescent="0.2"/>
  <cols>
    <col min="1" max="1" width="12.125" customWidth="1"/>
    <col min="2" max="16" width="4.625" customWidth="1"/>
    <col min="17" max="23" width="5.625" customWidth="1"/>
  </cols>
  <sheetData>
    <row r="1" spans="1:24" x14ac:dyDescent="0.2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</row>
    <row r="2" spans="1:24" x14ac:dyDescent="0.2">
      <c r="A2" t="s">
        <v>1</v>
      </c>
      <c r="B2" s="1" t="str">
        <f>DEC2BIN(1)</f>
        <v>1</v>
      </c>
      <c r="C2" s="1" t="str">
        <f>DEC2BIN(2)</f>
        <v>10</v>
      </c>
      <c r="D2" s="1" t="str">
        <f>DEC2BIN(3)</f>
        <v>11</v>
      </c>
      <c r="E2" s="1" t="str">
        <f>DEC2BIN(4)</f>
        <v>100</v>
      </c>
      <c r="F2" s="1" t="str">
        <f>DEC2BIN(5)</f>
        <v>101</v>
      </c>
      <c r="G2" s="1" t="str">
        <f>DEC2BIN(6)</f>
        <v>110</v>
      </c>
      <c r="H2" s="1" t="str">
        <f>DEC2BIN(7)</f>
        <v>111</v>
      </c>
      <c r="I2" s="1" t="str">
        <f>DEC2BIN(8)</f>
        <v>1000</v>
      </c>
      <c r="J2" s="1" t="str">
        <f>DEC2BIN(9)</f>
        <v>1001</v>
      </c>
      <c r="K2" s="1" t="str">
        <f>DEC2BIN(10)</f>
        <v>1010</v>
      </c>
      <c r="L2" s="1" t="str">
        <f>DEC2BIN(11)</f>
        <v>1011</v>
      </c>
      <c r="M2" s="1" t="str">
        <f>DEC2BIN(12)</f>
        <v>1100</v>
      </c>
      <c r="N2" s="1" t="str">
        <f>DEC2BIN(13)</f>
        <v>1101</v>
      </c>
      <c r="O2" s="1" t="str">
        <f>DEC2BIN(14)</f>
        <v>1110</v>
      </c>
      <c r="P2" s="1" t="str">
        <f>DEC2BIN(15)</f>
        <v>1111</v>
      </c>
      <c r="Q2" s="1" t="str">
        <f>DEC2BIN(16)</f>
        <v>10000</v>
      </c>
      <c r="R2" s="1" t="str">
        <f>DEC2BIN(17)</f>
        <v>10001</v>
      </c>
      <c r="S2" s="1" t="str">
        <f>DEC2BIN(18)</f>
        <v>10010</v>
      </c>
      <c r="T2" s="1" t="str">
        <f>DEC2BIN(19)</f>
        <v>10011</v>
      </c>
      <c r="U2" s="1" t="str">
        <f>DEC2BIN(20)</f>
        <v>10100</v>
      </c>
      <c r="V2" s="1" t="str">
        <f>DEC2BIN(21)</f>
        <v>10101</v>
      </c>
      <c r="W2" s="1"/>
    </row>
    <row r="3" spans="1:24" x14ac:dyDescent="0.2">
      <c r="A3" t="s">
        <v>2</v>
      </c>
      <c r="B3" s="2" t="s">
        <v>24</v>
      </c>
      <c r="C3" s="3" t="s">
        <v>25</v>
      </c>
      <c r="D3" t="s">
        <v>34</v>
      </c>
      <c r="E3" s="3" t="s">
        <v>26</v>
      </c>
      <c r="F3" t="s">
        <v>35</v>
      </c>
      <c r="G3" t="s">
        <v>36</v>
      </c>
      <c r="H3" t="s">
        <v>37</v>
      </c>
      <c r="I3" s="3" t="s">
        <v>27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s="3" t="s">
        <v>33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</row>
    <row r="4" spans="1:24" x14ac:dyDescent="0.2">
      <c r="A4" t="s">
        <v>3</v>
      </c>
      <c r="B4">
        <v>1</v>
      </c>
      <c r="D4">
        <v>1</v>
      </c>
      <c r="F4">
        <v>1</v>
      </c>
      <c r="H4">
        <v>1</v>
      </c>
      <c r="J4">
        <v>1</v>
      </c>
      <c r="L4">
        <v>1</v>
      </c>
      <c r="N4">
        <v>1</v>
      </c>
      <c r="P4">
        <v>1</v>
      </c>
      <c r="R4">
        <v>1</v>
      </c>
      <c r="T4">
        <v>1</v>
      </c>
      <c r="V4">
        <v>1</v>
      </c>
      <c r="X4" s="3">
        <f>SUM(B4:W4)</f>
        <v>11</v>
      </c>
    </row>
    <row r="5" spans="1:24" x14ac:dyDescent="0.2">
      <c r="A5" t="s">
        <v>4</v>
      </c>
      <c r="C5">
        <v>1</v>
      </c>
      <c r="D5">
        <v>1</v>
      </c>
      <c r="G5">
        <v>1</v>
      </c>
      <c r="H5">
        <v>1</v>
      </c>
      <c r="K5">
        <v>1</v>
      </c>
      <c r="L5">
        <v>1</v>
      </c>
      <c r="O5">
        <v>1</v>
      </c>
      <c r="P5">
        <v>1</v>
      </c>
      <c r="S5">
        <v>1</v>
      </c>
      <c r="T5">
        <v>1</v>
      </c>
      <c r="X5" s="3">
        <f t="shared" ref="X5:X8" si="0">SUM(B5:W5)</f>
        <v>10</v>
      </c>
    </row>
    <row r="6" spans="1:24" x14ac:dyDescent="0.2">
      <c r="A6" t="s">
        <v>5</v>
      </c>
      <c r="E6">
        <v>1</v>
      </c>
      <c r="F6">
        <v>1</v>
      </c>
      <c r="G6">
        <v>1</v>
      </c>
      <c r="H6">
        <v>1</v>
      </c>
      <c r="M6">
        <v>1</v>
      </c>
      <c r="N6">
        <v>1</v>
      </c>
      <c r="O6">
        <v>1</v>
      </c>
      <c r="P6">
        <v>1</v>
      </c>
      <c r="U6">
        <v>1</v>
      </c>
      <c r="V6">
        <v>1</v>
      </c>
      <c r="X6" s="3">
        <f t="shared" si="0"/>
        <v>10</v>
      </c>
    </row>
    <row r="7" spans="1:24" x14ac:dyDescent="0.2">
      <c r="A7" t="s">
        <v>6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X7" s="3">
        <f t="shared" si="0"/>
        <v>8</v>
      </c>
    </row>
    <row r="8" spans="1:24" x14ac:dyDescent="0.2">
      <c r="A8" t="s">
        <v>7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X8" s="3">
        <f t="shared" si="0"/>
        <v>6</v>
      </c>
    </row>
    <row r="9" spans="1:24" x14ac:dyDescent="0.2">
      <c r="A9" t="s">
        <v>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MF_B</dc:creator>
  <cp:lastModifiedBy>泽民 谷</cp:lastModifiedBy>
  <dcterms:created xsi:type="dcterms:W3CDTF">2015-06-05T18:19:34Z</dcterms:created>
  <dcterms:modified xsi:type="dcterms:W3CDTF">2024-12-25T15:58:18Z</dcterms:modified>
</cp:coreProperties>
</file>